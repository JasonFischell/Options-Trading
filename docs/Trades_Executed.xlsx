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ding Projects\Options Trading\docs\"/>
    </mc:Choice>
  </mc:AlternateContent>
  <xr:revisionPtr revIDLastSave="0" documentId="13_ncr:1_{A532BF7C-48F2-4F54-865E-7CE091F86A62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6" i="1"/>
  <c r="I7" i="1"/>
  <c r="I8" i="1"/>
  <c r="I9" i="1"/>
  <c r="H4" i="1"/>
  <c r="H6" i="1"/>
  <c r="H7" i="1"/>
  <c r="H8" i="1"/>
  <c r="H9" i="1"/>
  <c r="G4" i="1"/>
  <c r="G5" i="1"/>
  <c r="H5" i="1" s="1"/>
  <c r="I5" i="1" s="1"/>
  <c r="G6" i="1"/>
  <c r="G7" i="1"/>
  <c r="G8" i="1"/>
  <c r="G9" i="1"/>
  <c r="I3" i="1"/>
  <c r="H3" i="1"/>
  <c r="G3" i="1"/>
  <c r="I2" i="1"/>
  <c r="G2" i="1"/>
  <c r="H2" i="1" s="1"/>
</calcChain>
</file>

<file path=xl/sharedStrings.xml><?xml version="1.0" encoding="utf-8"?>
<sst xmlns="http://schemas.openxmlformats.org/spreadsheetml/2006/main" count="13" uniqueCount="13">
  <si>
    <t>Symbol</t>
  </si>
  <si>
    <t>Date</t>
  </si>
  <si>
    <t>Stock Buy Price</t>
  </si>
  <si>
    <t>Options Sale Price</t>
  </si>
  <si>
    <t>Initial Investment</t>
  </si>
  <si>
    <t>Max Profit</t>
  </si>
  <si>
    <t>Option Strike Price</t>
  </si>
  <si>
    <t>Closure Date</t>
  </si>
  <si>
    <t>EOSE</t>
  </si>
  <si>
    <t>Quantity</t>
  </si>
  <si>
    <t>Max Profit %</t>
  </si>
  <si>
    <t>QUBT</t>
  </si>
  <si>
    <t>POET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</si>
</sst>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A5" sqref="A5"/>
    </sheetView>
  </sheetViews>
  <sheetFormatPr defaultRowHeight="14.25" x14ac:dyDescent="0.45"/>
  <cols>
    <col min="1" max="1" width="9.19921875" bestFit="1" customWidth="1"/>
    <col min="4" max="4" width="13.86328125" customWidth="1"/>
    <col min="5" max="5" width="16.6640625" customWidth="1"/>
    <col min="6" max="6" width="16.06640625" customWidth="1"/>
    <col min="7" max="7" width="14.9296875" customWidth="1"/>
    <col min="8" max="9" width="14.19921875" customWidth="1"/>
    <col min="10" max="10" width="11.3984375" customWidth="1"/>
  </cols>
  <sheetData>
    <row r="1" spans="1:10" x14ac:dyDescent="0.45">
      <c r="A1" t="s">
        <v>1</v>
      </c>
      <c r="B1" t="s">
        <v>0</v>
      </c>
      <c r="C1" t="s">
        <v>9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I1" t="s">
        <v>10</v>
      </c>
      <c r="J1" t="s">
        <v>7</v>
      </c>
    </row>
    <row r="2" spans="1:10" x14ac:dyDescent="0.45">
      <c r="A2" s="1">
        <v>46136</v>
      </c>
      <c r="B2" t="s">
        <v>8</v>
      </c>
      <c r="C2">
        <v>2</v>
      </c>
      <c r="D2">
        <v>7.67</v>
      </c>
      <c r="E2">
        <v>7</v>
      </c>
      <c r="F2">
        <v>0.84</v>
      </c>
      <c r="G2">
        <f>C2*(D2-F2)</f>
        <v>13.66</v>
      </c>
      <c r="H2">
        <f>(C2*E2)-G2</f>
        <v>0.33999999999999986</v>
      </c>
      <c r="I2">
        <f>H2/G2</f>
        <v>2.4890190336749624E-2</v>
      </c>
      <c r="J2" s="1">
        <v>46143</v>
      </c>
    </row>
    <row r="3" spans="1:10" x14ac:dyDescent="0.45">
      <c r="A3" s="1">
        <v>46136</v>
      </c>
      <c r="B3" t="s">
        <v>11</v>
      </c>
      <c r="C3">
        <v>1</v>
      </c>
      <c r="D3">
        <v>8.9499999999999993</v>
      </c>
      <c r="E3">
        <v>8</v>
      </c>
      <c r="F3">
        <v>1.08</v>
      </c>
      <c r="G3">
        <f>C3*(D3-F3)</f>
        <v>7.8699999999999992</v>
      </c>
      <c r="H3">
        <f>(C3*E3)-G3</f>
        <v>0.13000000000000078</v>
      </c>
      <c r="I3">
        <f>H3/G3</f>
        <v>1.6518424396442286E-2</v>
      </c>
      <c r="J3" s="1">
        <v>46143</v>
      </c>
    </row>
    <row r="4" spans="1:10" x14ac:dyDescent="0.45">
      <c r="A4" s="1">
        <v>46136</v>
      </c>
      <c r="B4" t="s">
        <v>12</v>
      </c>
      <c r="C4">
        <v>1</v>
      </c>
      <c r="D4">
        <v>14.97</v>
      </c>
      <c r="E4">
        <v>13.5</v>
      </c>
      <c r="F4">
        <v>2.0499999999999998</v>
      </c>
      <c r="G4">
        <f t="shared" ref="G4:G9" si="0">C4*(D4-F4)</f>
        <v>12.920000000000002</v>
      </c>
      <c r="H4">
        <f t="shared" ref="H4:H9" si="1">(C4*E4)-G4</f>
        <v>0.57999999999999829</v>
      </c>
      <c r="I4">
        <f t="shared" ref="I4:I9" si="2">H4/G4</f>
        <v>4.4891640866872924E-2</v>
      </c>
      <c r="J4" s="1">
        <v>46143</v>
      </c>
    </row>
    <row r="5" spans="1:10" x14ac:dyDescent="0.45">
      <c r="G5">
        <f t="shared" si="0"/>
        <v>0</v>
      </c>
      <c r="H5">
        <f t="shared" si="1"/>
        <v>0</v>
      </c>
      <c r="I5" t="e">
        <f t="shared" si="2"/>
        <v>#DIV/0!</v>
      </c>
    </row>
    <row r="6" spans="1:10" x14ac:dyDescent="0.45">
      <c r="G6">
        <f t="shared" si="0"/>
        <v>0</v>
      </c>
      <c r="H6">
        <f t="shared" si="1"/>
        <v>0</v>
      </c>
      <c r="I6" t="e">
        <f t="shared" si="2"/>
        <v>#DIV/0!</v>
      </c>
    </row>
    <row r="7" spans="1:10" x14ac:dyDescent="0.45">
      <c r="G7">
        <f t="shared" si="0"/>
        <v>0</v>
      </c>
      <c r="H7">
        <f t="shared" si="1"/>
        <v>0</v>
      </c>
      <c r="I7" t="e">
        <f t="shared" si="2"/>
        <v>#DIV/0!</v>
      </c>
    </row>
    <row r="8" spans="1:10" x14ac:dyDescent="0.45">
      <c r="G8">
        <f t="shared" si="0"/>
        <v>0</v>
      </c>
      <c r="H8">
        <f t="shared" si="1"/>
        <v>0</v>
      </c>
      <c r="I8" t="e">
        <f t="shared" si="2"/>
        <v>#DIV/0!</v>
      </c>
    </row>
    <row r="9" spans="1:10" x14ac:dyDescent="0.45">
      <c r="G9">
        <f t="shared" si="0"/>
        <v>0</v>
      </c>
      <c r="H9">
        <f t="shared" si="1"/>
        <v>0</v>
      </c>
      <c r="I9" t="e">
        <f t="shared" si="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Fischell</dc:creator>
  <cp:lastModifiedBy>Jason Fischell</cp:lastModifiedBy>
  <dcterms:created xsi:type="dcterms:W3CDTF">2015-06-05T18:17:20Z</dcterms:created>
  <dcterms:modified xsi:type="dcterms:W3CDTF">2026-04-24T18:14:11Z</dcterms:modified>
</cp:coreProperties>
</file>